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機能一覧（権限表）" sheetId="1" state="visible" r:id="rId1"/>
    <sheet name="モード概要" sheetId="2" state="visible" r:id="rId2"/>
    <sheet name="注意事項" sheetId="3" state="visible" r:id="rId3"/>
  </sheets>
  <definedNames>
    <definedName name="_xlnm.Print_Titles" localSheetId="0">'機能一覧（権限表）'!$5:$5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000000"/>
      <sz val="14"/>
    </font>
    <font>
      <name val="Meiryo"/>
      <color rgb="00000000"/>
      <sz val="10"/>
    </font>
    <font>
      <name val="Meiryo"/>
      <color rgb="009C0006"/>
      <sz val="10"/>
    </font>
    <font>
      <name val="Meiryo"/>
      <b val="1"/>
      <color rgb="00FFFFFF"/>
      <sz val="10"/>
    </font>
    <font>
      <name val="Meiryo"/>
      <b val="1"/>
      <color rgb="00000000"/>
      <sz val="12"/>
    </font>
    <font>
      <name val="Meiryo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1213A"/>
      </patternFill>
    </fill>
    <fill>
      <patternFill patternType="solid">
        <fgColor rgb="00E8EDF5"/>
      </patternFill>
    </fill>
    <fill>
      <patternFill patternType="solid">
        <fgColor rgb="00D9F2E0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44" customWidth="1" min="3" max="3"/>
    <col width="34" customWidth="1" min="4" max="4"/>
    <col width="13" customWidth="1" min="5" max="5"/>
    <col width="13" customWidth="1" min="6" max="6"/>
    <col width="13" customWidth="1" min="7" max="7"/>
    <col width="13" customWidth="1" min="8" max="8"/>
    <col width="52" customWidth="1" min="9" max="9"/>
  </cols>
  <sheetData>
    <row r="1">
      <c r="A1" s="1" t="inlineStr">
        <is>
          <t>目黒区 災害情報共有システム 機能一覧（モード別の権限表）</t>
        </is>
      </c>
    </row>
    <row r="2">
      <c r="A2" s="2" t="inlineStr">
        <is>
          <t>凡例:  ○＝できる　／　×＝できない　／　△＝通常の画面では不可だが、一覧画面から開くと操作できてしまう（制限なし）</t>
        </is>
      </c>
    </row>
    <row r="3">
      <c r="A3" s="3" t="inlineStr">
        <is>
          <t>※ 本システムにログイン（アカウント）機能はなく、画面上部のボタンで切り替える「モード」を、担当者の役割として扱っています。</t>
        </is>
      </c>
    </row>
    <row r="5" ht="30" customHeight="1">
      <c r="A5" s="4" t="inlineStr">
        <is>
          <t>No.</t>
        </is>
      </c>
      <c r="B5" s="4" t="inlineStr">
        <is>
          <t>分類</t>
        </is>
      </c>
      <c r="C5" s="4" t="inlineStr">
        <is>
          <t>機能</t>
        </is>
      </c>
      <c r="D5" s="4" t="inlineStr">
        <is>
          <t>操作方法</t>
        </is>
      </c>
      <c r="E5" s="4" t="inlineStr">
        <is>
          <t>災害対策本部</t>
        </is>
      </c>
      <c r="F5" s="4" t="inlineStr">
        <is>
          <t>参集指定職員</t>
        </is>
      </c>
      <c r="G5" s="4" t="inlineStr">
        <is>
          <t>現場職員</t>
        </is>
      </c>
      <c r="H5" s="4" t="inlineStr">
        <is>
          <t>物資管理</t>
        </is>
      </c>
      <c r="I5" s="4" t="inlineStr">
        <is>
          <t>備考</t>
        </is>
      </c>
    </row>
    <row r="6" ht="44" customHeight="1">
      <c r="A6" s="5" t="n">
        <v>1</v>
      </c>
      <c r="B6" s="6" t="inlineStr">
        <is>
          <t>災害管理</t>
        </is>
      </c>
      <c r="C6" s="7" t="inlineStr">
        <is>
          <t>災害の開始・災害名/発災時刻の修正</t>
        </is>
      </c>
      <c r="D6" s="7" t="inlineStr">
        <is>
          <t>ヘッダーの「災害未開始（クリックして開始）」／経過時間ボタン</t>
        </is>
      </c>
      <c r="E6" s="8" t="inlineStr">
        <is>
          <t>○</t>
        </is>
      </c>
      <c r="F6" s="8" t="inlineStr">
        <is>
          <t>○</t>
        </is>
      </c>
      <c r="G6" s="8" t="inlineStr">
        <is>
          <t>○</t>
        </is>
      </c>
      <c r="H6" s="8" t="inlineStr">
        <is>
          <t>○</t>
        </is>
      </c>
      <c r="I6" s="7" t="inlineStr">
        <is>
          <t>ヘッダーは全モード共通のため、本部以外でも操作できる（役割による制限なし）</t>
        </is>
      </c>
    </row>
    <row r="7" ht="44" customHeight="1">
      <c r="A7" s="5" t="n">
        <v>2</v>
      </c>
      <c r="B7" s="6" t="inlineStr">
        <is>
          <t>災害管理</t>
        </is>
      </c>
      <c r="C7" s="7" t="inlineStr">
        <is>
          <t>災害一覧（過去の災害を別タブで開く）</t>
        </is>
      </c>
      <c r="D7" s="7" t="inlineStr">
        <is>
          <t>ヘッダーの「災害一覧」</t>
        </is>
      </c>
      <c r="E7" s="8" t="inlineStr">
        <is>
          <t>○</t>
        </is>
      </c>
      <c r="F7" s="8" t="inlineStr">
        <is>
          <t>○</t>
        </is>
      </c>
      <c r="G7" s="8" t="inlineStr">
        <is>
          <t>○</t>
        </is>
      </c>
      <c r="H7" s="8" t="inlineStr">
        <is>
          <t>○</t>
        </is>
      </c>
      <c r="I7" s="7" t="inlineStr">
        <is>
          <t>過去の災害では、避難所・ライフライン・一時滞在施設は現在状態の表示のみで編集不可</t>
        </is>
      </c>
    </row>
    <row r="8" ht="44" customHeight="1">
      <c r="A8" s="5" t="n">
        <v>3</v>
      </c>
      <c r="B8" s="6" t="inlineStr">
        <is>
          <t>災害管理</t>
        </is>
      </c>
      <c r="C8" s="7" t="inlineStr">
        <is>
          <t>発災後経過時間の表示</t>
        </is>
      </c>
      <c r="D8" s="7" t="inlineStr">
        <is>
          <t>ヘッダー（秒単位で更新）</t>
        </is>
      </c>
      <c r="E8" s="8" t="inlineStr">
        <is>
          <t>○</t>
        </is>
      </c>
      <c r="F8" s="8" t="inlineStr">
        <is>
          <t>○</t>
        </is>
      </c>
      <c r="G8" s="8" t="inlineStr">
        <is>
          <t>○</t>
        </is>
      </c>
      <c r="H8" s="8" t="inlineStr">
        <is>
          <t>○</t>
        </is>
      </c>
      <c r="I8" s="7" t="inlineStr"/>
    </row>
    <row r="9" ht="44" customHeight="1">
      <c r="A9" s="5" t="n">
        <v>4</v>
      </c>
      <c r="B9" s="6" t="inlineStr">
        <is>
          <t>被害報告</t>
        </is>
      </c>
      <c r="C9" s="7" t="inlineStr">
        <is>
          <t>被害報告の新規登録</t>
        </is>
      </c>
      <c r="D9" s="7" t="inlineStr">
        <is>
          <t>地図の何もない場所をクリック</t>
        </is>
      </c>
      <c r="E9" s="8" t="inlineStr">
        <is>
          <t>○</t>
        </is>
      </c>
      <c r="F9" s="9" t="inlineStr">
        <is>
          <t>×</t>
        </is>
      </c>
      <c r="G9" s="8" t="inlineStr">
        <is>
          <t>○</t>
        </is>
      </c>
      <c r="H9" s="9" t="inlineStr">
        <is>
          <t>×</t>
        </is>
      </c>
      <c r="I9" s="7" t="inlineStr">
        <is>
          <t>種別・程度・内容・場所補足・入力者区分を入力</t>
        </is>
      </c>
    </row>
    <row r="10" ht="44" customHeight="1">
      <c r="A10" s="5" t="n">
        <v>5</v>
      </c>
      <c r="B10" s="6" t="inlineStr">
        <is>
          <t>被害報告</t>
        </is>
      </c>
      <c r="C10" s="7" t="inlineStr">
        <is>
          <t>被害報告の追記・対応状況の変更（未対応／対応中／対応完了）</t>
        </is>
      </c>
      <c r="D10" s="7" t="inlineStr">
        <is>
          <t>地図上の被害ピンをクリック</t>
        </is>
      </c>
      <c r="E10" s="8" t="inlineStr">
        <is>
          <t>○</t>
        </is>
      </c>
      <c r="F10" s="10" t="inlineStr">
        <is>
          <t>△</t>
        </is>
      </c>
      <c r="G10" s="8" t="inlineStr">
        <is>
          <t>○</t>
        </is>
      </c>
      <c r="H10" s="9" t="inlineStr">
        <is>
          <t>×</t>
        </is>
      </c>
      <c r="I10" s="7" t="inlineStr">
        <is>
          <t>参集指定職員は、左の被害状況サマリーの一覧から開くと編集画面が開く（制限なし）</t>
        </is>
      </c>
    </row>
    <row r="11" ht="44" customHeight="1">
      <c r="A11" s="5" t="n">
        <v>6</v>
      </c>
      <c r="B11" s="6" t="inlineStr">
        <is>
          <t>被害報告</t>
        </is>
      </c>
      <c r="C11" s="7" t="inlineStr">
        <is>
          <t>被害報告の閲覧（地図・サマリー・一覧）</t>
        </is>
      </c>
      <c r="D11" s="7" t="inlineStr">
        <is>
          <t>地図／左の「被害状況」</t>
        </is>
      </c>
      <c r="E11" s="8" t="inlineStr">
        <is>
          <t>○</t>
        </is>
      </c>
      <c r="F11" s="8" t="inlineStr">
        <is>
          <t>○</t>
        </is>
      </c>
      <c r="G11" s="8" t="inlineStr">
        <is>
          <t>○</t>
        </is>
      </c>
      <c r="H11" s="9" t="inlineStr">
        <is>
          <t>×</t>
        </is>
      </c>
      <c r="I11" s="7" t="inlineStr">
        <is>
          <t>物資管理モードは地図・サイドバーを非表示</t>
        </is>
      </c>
    </row>
    <row r="12" ht="44" customHeight="1">
      <c r="A12" s="5" t="n">
        <v>7</v>
      </c>
      <c r="B12" s="6" t="inlineStr">
        <is>
          <t>避難所</t>
        </is>
      </c>
      <c r="C12" s="7" t="inlineStr">
        <is>
          <t>避難所の開設状況・避難者数・被害状況の入力</t>
        </is>
      </c>
      <c r="D12" s="7" t="inlineStr">
        <is>
          <t>地図の避難所アイコンをクリック</t>
        </is>
      </c>
      <c r="E12" s="8" t="inlineStr">
        <is>
          <t>○</t>
        </is>
      </c>
      <c r="F12" s="8" t="inlineStr">
        <is>
          <t>○</t>
        </is>
      </c>
      <c r="G12" s="10" t="inlineStr">
        <is>
          <t>△</t>
        </is>
      </c>
      <c r="H12" s="9" t="inlineStr">
        <is>
          <t>×</t>
        </is>
      </c>
      <c r="I12" s="7" t="inlineStr">
        <is>
          <t>現場職員は、サマリーの避難所一覧から開くと編集画面が開く（制限なし）</t>
        </is>
      </c>
    </row>
    <row r="13" ht="44" customHeight="1">
      <c r="A13" s="5" t="n">
        <v>8</v>
      </c>
      <c r="B13" s="6" t="inlineStr">
        <is>
          <t>避難所</t>
        </is>
      </c>
      <c r="C13" s="7" t="inlineStr">
        <is>
          <t>避難所からの物資要求の登録</t>
        </is>
      </c>
      <c r="D13" s="7" t="inlineStr">
        <is>
          <t>避難所ダイアログ内のボタン</t>
        </is>
      </c>
      <c r="E13" s="8" t="inlineStr">
        <is>
          <t>○</t>
        </is>
      </c>
      <c r="F13" s="8" t="inlineStr">
        <is>
          <t>○</t>
        </is>
      </c>
      <c r="G13" s="10" t="inlineStr">
        <is>
          <t>△</t>
        </is>
      </c>
      <c r="H13" s="9" t="inlineStr">
        <is>
          <t>×</t>
        </is>
      </c>
      <c r="I13" s="7" t="inlineStr">
        <is>
          <t>同上（一覧経由なら現場職員も開ける）</t>
        </is>
      </c>
    </row>
    <row r="14" ht="44" customHeight="1">
      <c r="A14" s="5" t="n">
        <v>9</v>
      </c>
      <c r="B14" s="6" t="inlineStr">
        <is>
          <t>避難所</t>
        </is>
      </c>
      <c r="C14" s="7" t="inlineStr">
        <is>
          <t>避難所・避難者数の閲覧</t>
        </is>
      </c>
      <c r="D14" s="7" t="inlineStr">
        <is>
          <t>地図／左の「避難所 開設」「避難者数」</t>
        </is>
      </c>
      <c r="E14" s="8" t="inlineStr">
        <is>
          <t>○</t>
        </is>
      </c>
      <c r="F14" s="8" t="inlineStr">
        <is>
          <t>○</t>
        </is>
      </c>
      <c r="G14" s="8" t="inlineStr">
        <is>
          <t>○</t>
        </is>
      </c>
      <c r="H14" s="9" t="inlineStr">
        <is>
          <t>×</t>
        </is>
      </c>
      <c r="I14" s="7" t="inlineStr"/>
    </row>
    <row r="15" ht="44" customHeight="1">
      <c r="A15" s="5" t="n">
        <v>10</v>
      </c>
      <c r="B15" s="6" t="inlineStr">
        <is>
          <t>物資</t>
        </is>
      </c>
      <c r="C15" s="7" t="inlineStr">
        <is>
          <t>物資要求の手配状況・数量の変更</t>
        </is>
      </c>
      <c r="D15" s="7" t="inlineStr">
        <is>
          <t>左の「物資要求 未手配」の一覧</t>
        </is>
      </c>
      <c r="E15" s="8" t="inlineStr">
        <is>
          <t>○</t>
        </is>
      </c>
      <c r="F15" s="8" t="inlineStr">
        <is>
          <t>○</t>
        </is>
      </c>
      <c r="G15" s="8" t="inlineStr">
        <is>
          <t>○</t>
        </is>
      </c>
      <c r="H15" s="9" t="inlineStr">
        <is>
          <t>×</t>
        </is>
      </c>
      <c r="I15" s="7" t="inlineStr">
        <is>
          <t>モードによる制限コードなし（サイドバーが見えるモードなら操作可）</t>
        </is>
      </c>
    </row>
    <row r="16" ht="44" customHeight="1">
      <c r="A16" s="5" t="n">
        <v>11</v>
      </c>
      <c r="B16" s="6" t="inlineStr">
        <is>
          <t>物資</t>
        </is>
      </c>
      <c r="C16" s="7" t="inlineStr">
        <is>
          <t>倉庫から避難所への物資割当・配送状況の更新</t>
        </is>
      </c>
      <c r="D16" s="7" t="inlineStr">
        <is>
          <t>物資管理モードの専用画面</t>
        </is>
      </c>
      <c r="E16" s="9" t="inlineStr">
        <is>
          <t>×</t>
        </is>
      </c>
      <c r="F16" s="9" t="inlineStr">
        <is>
          <t>×</t>
        </is>
      </c>
      <c r="G16" s="9" t="inlineStr">
        <is>
          <t>×</t>
        </is>
      </c>
      <c r="H16" s="8" t="inlineStr">
        <is>
          <t>○</t>
        </is>
      </c>
      <c r="I16" s="7" t="inlineStr">
        <is>
          <t>距離順に倉庫候補を提示。割当時に在庫を自動減算。本部モードでは不可</t>
        </is>
      </c>
    </row>
    <row r="17" ht="44" customHeight="1">
      <c r="A17" s="5" t="n">
        <v>12</v>
      </c>
      <c r="B17" s="6" t="inlineStr">
        <is>
          <t>物資</t>
        </is>
      </c>
      <c r="C17" s="7" t="inlineStr">
        <is>
          <t>備蓄倉庫の在庫数の編集</t>
        </is>
      </c>
      <c r="D17" s="7" t="inlineStr">
        <is>
          <t>物資管理モードの専用画面</t>
        </is>
      </c>
      <c r="E17" s="9" t="inlineStr">
        <is>
          <t>×</t>
        </is>
      </c>
      <c r="F17" s="9" t="inlineStr">
        <is>
          <t>×</t>
        </is>
      </c>
      <c r="G17" s="9" t="inlineStr">
        <is>
          <t>×</t>
        </is>
      </c>
      <c r="H17" s="8" t="inlineStr">
        <is>
          <t>○</t>
        </is>
      </c>
      <c r="I17" s="7" t="inlineStr">
        <is>
          <t>本部モードでは不可</t>
        </is>
      </c>
    </row>
    <row r="18" ht="44" customHeight="1">
      <c r="A18" s="5" t="n">
        <v>13</v>
      </c>
      <c r="B18" s="6" t="inlineStr">
        <is>
          <t>物資</t>
        </is>
      </c>
      <c r="C18" s="7" t="inlineStr">
        <is>
          <t>備蓄倉庫の在庫・品目の閲覧</t>
        </is>
      </c>
      <c r="D18" s="7" t="inlineStr">
        <is>
          <t>本部:地図の倉庫アイコン／物資管理:専用画面</t>
        </is>
      </c>
      <c r="E18" s="8" t="inlineStr">
        <is>
          <t>○</t>
        </is>
      </c>
      <c r="F18" s="9" t="inlineStr">
        <is>
          <t>×</t>
        </is>
      </c>
      <c r="G18" s="9" t="inlineStr">
        <is>
          <t>×</t>
        </is>
      </c>
      <c r="H18" s="8" t="inlineStr">
        <is>
          <t>○</t>
        </is>
      </c>
      <c r="I18" s="7" t="inlineStr">
        <is>
          <t>本部は閲覧のみ（編集不可）</t>
        </is>
      </c>
    </row>
    <row r="19" ht="44" customHeight="1">
      <c r="A19" s="5" t="n">
        <v>14</v>
      </c>
      <c r="B19" s="6" t="inlineStr">
        <is>
          <t>施設</t>
        </is>
      </c>
      <c r="C19" s="7" t="inlineStr">
        <is>
          <t>一時滞在施設の開放状況の入力</t>
        </is>
      </c>
      <c r="D19" s="7" t="inlineStr">
        <is>
          <t>地図の一時滞在施設アイコンをクリック</t>
        </is>
      </c>
      <c r="E19" s="8" t="inlineStr">
        <is>
          <t>○</t>
        </is>
      </c>
      <c r="F19" s="9" t="inlineStr">
        <is>
          <t>×</t>
        </is>
      </c>
      <c r="G19" s="9" t="inlineStr">
        <is>
          <t>×</t>
        </is>
      </c>
      <c r="H19" s="9" t="inlineStr">
        <is>
          <t>×</t>
        </is>
      </c>
      <c r="I19" s="7" t="inlineStr"/>
    </row>
    <row r="20" ht="44" customHeight="1">
      <c r="A20" s="5" t="n">
        <v>15</v>
      </c>
      <c r="B20" s="6" t="inlineStr">
        <is>
          <t>ライフライン</t>
        </is>
      </c>
      <c r="C20" s="7" t="inlineStr">
        <is>
          <t>丁目別ライフライン（電気・ガス・水道・下水道）の使用可否の入力</t>
        </is>
      </c>
      <c r="D20" s="7" t="inlineStr">
        <is>
          <t>左の「ライフライン」ボタン→丁目をクリック</t>
        </is>
      </c>
      <c r="E20" s="8" t="inlineStr">
        <is>
          <t>○</t>
        </is>
      </c>
      <c r="F20" s="9" t="inlineStr">
        <is>
          <t>×</t>
        </is>
      </c>
      <c r="G20" s="9" t="inlineStr">
        <is>
          <t>×</t>
        </is>
      </c>
      <c r="H20" s="9" t="inlineStr">
        <is>
          <t>×</t>
        </is>
      </c>
      <c r="I20" s="7" t="inlineStr">
        <is>
          <t>参集指定職員・現場職員は閲覧のみ（画面にも注記あり）</t>
        </is>
      </c>
    </row>
    <row r="21" ht="44" customHeight="1">
      <c r="A21" s="5" t="n">
        <v>16</v>
      </c>
      <c r="B21" s="6" t="inlineStr">
        <is>
          <t>ライフライン</t>
        </is>
      </c>
      <c r="C21" s="7" t="inlineStr">
        <is>
          <t>ライフラインの色分け表示の閲覧</t>
        </is>
      </c>
      <c r="D21" s="7" t="inlineStr">
        <is>
          <t>左の「ライフライン」ボタン</t>
        </is>
      </c>
      <c r="E21" s="8" t="inlineStr">
        <is>
          <t>○</t>
        </is>
      </c>
      <c r="F21" s="8" t="inlineStr">
        <is>
          <t>○</t>
        </is>
      </c>
      <c r="G21" s="8" t="inlineStr">
        <is>
          <t>○</t>
        </is>
      </c>
      <c r="H21" s="9" t="inlineStr">
        <is>
          <t>×</t>
        </is>
      </c>
      <c r="I21" s="7" t="inlineStr"/>
    </row>
    <row r="22" ht="44" customHeight="1">
      <c r="A22" s="5" t="n">
        <v>17</v>
      </c>
      <c r="B22" s="6" t="inlineStr">
        <is>
          <t>全体共有・発信</t>
        </is>
      </c>
      <c r="C22" s="7" t="inlineStr">
        <is>
          <t>ホワイトボード（全体共有事項）の投稿・削除</t>
        </is>
      </c>
      <c r="D22" s="7" t="inlineStr">
        <is>
          <t>右の「時系列（ホワイトボード）」</t>
        </is>
      </c>
      <c r="E22" s="8" t="inlineStr">
        <is>
          <t>○</t>
        </is>
      </c>
      <c r="F22" s="8" t="inlineStr">
        <is>
          <t>○</t>
        </is>
      </c>
      <c r="G22" s="8" t="inlineStr">
        <is>
          <t>○</t>
        </is>
      </c>
      <c r="H22" s="9" t="inlineStr">
        <is>
          <t>×</t>
        </is>
      </c>
      <c r="I22" s="7" t="inlineStr">
        <is>
          <t>本部設置・気象情報・避難情報・応援要請・ライフライン・その他の6区分。時刻は手動入力可</t>
        </is>
      </c>
    </row>
    <row r="23" ht="44" customHeight="1">
      <c r="A23" s="5" t="n">
        <v>18</v>
      </c>
      <c r="B23" s="6" t="inlineStr">
        <is>
          <t>全体共有・発信</t>
        </is>
      </c>
      <c r="C23" s="7" t="inlineStr">
        <is>
          <t>時系列（タイムライン）の閲覧・種別フィルタ</t>
        </is>
      </c>
      <c r="D23" s="7" t="inlineStr">
        <is>
          <t>右の「時系列（ホワイトボード）」</t>
        </is>
      </c>
      <c r="E23" s="8" t="inlineStr">
        <is>
          <t>○</t>
        </is>
      </c>
      <c r="F23" s="8" t="inlineStr">
        <is>
          <t>○</t>
        </is>
      </c>
      <c r="G23" s="8" t="inlineStr">
        <is>
          <t>○</t>
        </is>
      </c>
      <c r="H23" s="9" t="inlineStr">
        <is>
          <t>×</t>
        </is>
      </c>
      <c r="I23" s="7" t="inlineStr">
        <is>
          <t>被害・避難所・物資・発信の履歴を時刻降順で表示。入力者を記録</t>
        </is>
      </c>
    </row>
    <row r="24" ht="44" customHeight="1">
      <c r="A24" s="5" t="n">
        <v>19</v>
      </c>
      <c r="B24" s="6" t="inlineStr">
        <is>
          <t>全体共有・発信</t>
        </is>
      </c>
      <c r="C24" s="7" t="inlineStr">
        <is>
          <t>区民への情報発信・配信取消</t>
        </is>
      </c>
      <c r="D24" s="7" t="inlineStr">
        <is>
          <t>左の「情報発信」ボタン</t>
        </is>
      </c>
      <c r="E24" s="8" t="inlineStr">
        <is>
          <t>○</t>
        </is>
      </c>
      <c r="F24" s="9" t="inlineStr">
        <is>
          <t>×</t>
        </is>
      </c>
      <c r="G24" s="9" t="inlineStr">
        <is>
          <t>×</t>
        </is>
      </c>
      <c r="H24" s="9" t="inlineStr">
        <is>
          <t>×</t>
        </is>
      </c>
      <c r="I24" s="7" t="inlineStr">
        <is>
          <t>LINE・X・Yahoo!防災速報・緊急速報メール・防災アプリ・防災行政無線から媒体を選択</t>
        </is>
      </c>
    </row>
    <row r="25" ht="44" customHeight="1">
      <c r="A25" s="5" t="n">
        <v>20</v>
      </c>
      <c r="B25" s="6" t="inlineStr">
        <is>
          <t>出力</t>
        </is>
      </c>
      <c r="C25" s="7" t="inlineStr">
        <is>
          <t>本部会議用レポートの表示（A4縦・印刷/PDF）</t>
        </is>
      </c>
      <c r="D25" s="7" t="inlineStr">
        <is>
          <t>左の「帳票」ボタン</t>
        </is>
      </c>
      <c r="E25" s="8" t="inlineStr">
        <is>
          <t>○</t>
        </is>
      </c>
      <c r="F25" s="9" t="inlineStr">
        <is>
          <t>×</t>
        </is>
      </c>
      <c r="G25" s="9" t="inlineStr">
        <is>
          <t>×</t>
        </is>
      </c>
      <c r="H25" s="9" t="inlineStr">
        <is>
          <t>×</t>
        </is>
      </c>
      <c r="I25" s="7" t="inlineStr">
        <is>
          <t>ボタンは本部のみ表示。ただし /report/ のURLを直接開けば他モードでも表示できる</t>
        </is>
      </c>
    </row>
    <row r="26" ht="44" customHeight="1">
      <c r="A26" s="5" t="n">
        <v>21</v>
      </c>
      <c r="B26" s="6" t="inlineStr">
        <is>
          <t>出力</t>
        </is>
      </c>
      <c r="C26" s="7" t="inlineStr">
        <is>
          <t>被害一覧のCSV出力（BOM付き）</t>
        </is>
      </c>
      <c r="D26" s="7" t="inlineStr">
        <is>
          <t>左の「帳票」ボタン</t>
        </is>
      </c>
      <c r="E26" s="8" t="inlineStr">
        <is>
          <t>○</t>
        </is>
      </c>
      <c r="F26" s="9" t="inlineStr">
        <is>
          <t>×</t>
        </is>
      </c>
      <c r="G26" s="9" t="inlineStr">
        <is>
          <t>×</t>
        </is>
      </c>
      <c r="H26" s="9" t="inlineStr">
        <is>
          <t>×</t>
        </is>
      </c>
      <c r="I26" s="7" t="inlineStr">
        <is>
          <t>ボタンは本部のみ表示。URLを直接開けば他モードでも取得できる</t>
        </is>
      </c>
    </row>
    <row r="27" ht="44" customHeight="1">
      <c r="A27" s="5" t="n">
        <v>22</v>
      </c>
      <c r="B27" s="6" t="inlineStr">
        <is>
          <t>出力</t>
        </is>
      </c>
      <c r="C27" s="7" t="inlineStr">
        <is>
          <t>区民向けページ（開設避難所と避難者数）</t>
        </is>
      </c>
      <c r="D27" s="7" t="inlineStr">
        <is>
          <t>/kumin/</t>
        </is>
      </c>
      <c r="E27" s="8" t="inlineStr">
        <is>
          <t>○</t>
        </is>
      </c>
      <c r="F27" s="8" t="inlineStr">
        <is>
          <t>○</t>
        </is>
      </c>
      <c r="G27" s="8" t="inlineStr">
        <is>
          <t>○</t>
        </is>
      </c>
      <c r="H27" s="8" t="inlineStr">
        <is>
          <t>○</t>
        </is>
      </c>
      <c r="I27" s="7" t="inlineStr">
        <is>
          <t>公開ページ。モードやログインに関係なく閲覧できる。庁内メモは非表示</t>
        </is>
      </c>
    </row>
    <row r="28" ht="44" customHeight="1">
      <c r="A28" s="5" t="n">
        <v>23</v>
      </c>
      <c r="B28" s="6" t="inlineStr">
        <is>
          <t>表示</t>
        </is>
      </c>
      <c r="C28" s="7" t="inlineStr">
        <is>
          <t>表示レイヤーの切り替え（避難所・被害報告・備蓄倉庫・一時滞在施設・防災行政無線・区界）</t>
        </is>
      </c>
      <c r="D28" s="7" t="inlineStr">
        <is>
          <t>左の「表示レイヤー」</t>
        </is>
      </c>
      <c r="E28" s="8" t="inlineStr">
        <is>
          <t>○</t>
        </is>
      </c>
      <c r="F28" s="8" t="inlineStr">
        <is>
          <t>○</t>
        </is>
      </c>
      <c r="G28" s="8" t="inlineStr">
        <is>
          <t>○</t>
        </is>
      </c>
      <c r="H28" s="9" t="inlineStr">
        <is>
          <t>×</t>
        </is>
      </c>
      <c r="I28" s="7" t="inlineStr"/>
    </row>
    <row r="29" ht="44" customHeight="1">
      <c r="A29" s="5" t="n">
        <v>24</v>
      </c>
      <c r="B29" s="6" t="inlineStr">
        <is>
          <t>表示</t>
        </is>
      </c>
      <c r="C29" s="7" t="inlineStr">
        <is>
          <t>入力者区分の選択（参集指定職員／都市整備部職員／災対本部職員）</t>
        </is>
      </c>
      <c r="D29" s="7" t="inlineStr">
        <is>
          <t>各入力ダイアログ内</t>
        </is>
      </c>
      <c r="E29" s="8" t="inlineStr">
        <is>
          <t>○</t>
        </is>
      </c>
      <c r="F29" s="8" t="inlineStr">
        <is>
          <t>○</t>
        </is>
      </c>
      <c r="G29" s="8" t="inlineStr">
        <is>
          <t>○</t>
        </is>
      </c>
      <c r="H29" s="9" t="inlineStr">
        <is>
          <t>×</t>
        </is>
      </c>
      <c r="I29" s="7" t="inlineStr">
        <is>
          <t>入力した人の区分を履歴に記録する（本人確認ではない）</t>
        </is>
      </c>
    </row>
    <row r="30">
      <c r="D30" s="11" t="inlineStr">
        <is>
          <t>○ の数</t>
        </is>
      </c>
      <c r="E30" s="12">
        <f>COUNTIF(E6:E29,"○")</f>
        <v/>
      </c>
      <c r="F30" s="12">
        <f>COUNTIF(F6:F29,"○")</f>
        <v/>
      </c>
      <c r="G30" s="12">
        <f>COUNTIF(G6:G29,"○")</f>
        <v/>
      </c>
      <c r="H30" s="12">
        <f>COUNTIF(H6:H29,"○")</f>
        <v/>
      </c>
    </row>
    <row r="31">
      <c r="D31" s="11" t="inlineStr">
        <is>
          <t>△ の数</t>
        </is>
      </c>
      <c r="E31" s="12">
        <f>COUNTIF(E6:E29,"△")</f>
        <v/>
      </c>
      <c r="F31" s="12">
        <f>COUNTIF(F6:F29,"△")</f>
        <v/>
      </c>
      <c r="G31" s="12">
        <f>COUNTIF(G6:G29,"△")</f>
        <v/>
      </c>
      <c r="H31" s="12">
        <f>COUNTIF(H6:H29,"△")</f>
        <v/>
      </c>
    </row>
    <row r="32">
      <c r="D32" s="11" t="inlineStr">
        <is>
          <t>× の数</t>
        </is>
      </c>
      <c r="E32" s="12">
        <f>COUNTIF(E6:E29,"×")</f>
        <v/>
      </c>
      <c r="F32" s="12">
        <f>COUNTIF(F6:F29,"×")</f>
        <v/>
      </c>
      <c r="G32" s="12">
        <f>COUNTIF(G6:G29,"×")</f>
        <v/>
      </c>
      <c r="H32" s="12">
        <f>COUNTIF(H6:H29,"×")</f>
        <v/>
      </c>
    </row>
  </sheetData>
  <mergeCells count="3">
    <mergeCell ref="A1:I1"/>
    <mergeCell ref="A3:I3"/>
    <mergeCell ref="A2:I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62" customWidth="1" min="3" max="3"/>
    <col width="52" customWidth="1" min="4" max="4"/>
  </cols>
  <sheetData>
    <row r="1">
      <c r="A1" s="1" t="inlineStr">
        <is>
          <t>モード（担当者の役割）の概要</t>
        </is>
      </c>
    </row>
    <row r="3">
      <c r="A3" s="13" t="inlineStr">
        <is>
          <t>モード</t>
        </is>
      </c>
      <c r="B3" s="13" t="inlineStr">
        <is>
          <t>想定する担当者</t>
        </is>
      </c>
      <c r="C3" s="13" t="inlineStr">
        <is>
          <t>主にできること</t>
        </is>
      </c>
      <c r="D3" s="13" t="inlineStr">
        <is>
          <t>できないこと（他のモードで行う）</t>
        </is>
      </c>
    </row>
    <row r="4" ht="62" customHeight="1">
      <c r="A4" s="14" t="inlineStr">
        <is>
          <t>災害対策本部</t>
        </is>
      </c>
      <c r="B4" s="15" t="inlineStr">
        <is>
          <t>災害対策本部の職員</t>
        </is>
      </c>
      <c r="C4" s="15" t="inlineStr">
        <is>
          <t>全体の俯瞰、被害報告・避難所・一時滞在施設・ライフラインの入力、ホワイトボード、区民への情報発信、本部会議用レポート・CSV出力</t>
        </is>
      </c>
      <c r="D4" s="15" t="inlineStr">
        <is>
          <t>物資の割当・備蓄倉庫の在庫編集（物資管理モードで行う）</t>
        </is>
      </c>
    </row>
    <row r="5" ht="62" customHeight="1">
      <c r="A5" s="14" t="inlineStr">
        <is>
          <t>参集指定職員</t>
        </is>
      </c>
      <c r="B5" s="15" t="inlineStr">
        <is>
          <t>各避難所に参集する指定職員</t>
        </is>
      </c>
      <c r="C5" s="15" t="inlineStr">
        <is>
          <t>避難所の開設状況・避難者数・被害状況の入力、物資要求、ホワイトボード投稿</t>
        </is>
      </c>
      <c r="D5" s="15" t="inlineStr">
        <is>
          <t>被害報告の入力、ライフライン入力、情報発信、レポート出力、物資の割当</t>
        </is>
      </c>
    </row>
    <row r="6" ht="62" customHeight="1">
      <c r="A6" s="14" t="inlineStr">
        <is>
          <t>現場職員</t>
        </is>
      </c>
      <c r="B6" s="15" t="inlineStr">
        <is>
          <t>現場で被害を確認する職員（都市整備部など）</t>
        </is>
      </c>
      <c r="C6" s="15" t="inlineStr">
        <is>
          <t>被害報告の新規登録・追記、ホワイトボード投稿</t>
        </is>
      </c>
      <c r="D6" s="15" t="inlineStr">
        <is>
          <t>避難所の入力、ライフライン入力、情報発信、レポート出力、物資の割当</t>
        </is>
      </c>
    </row>
    <row r="7" ht="62" customHeight="1">
      <c r="A7" s="14" t="inlineStr">
        <is>
          <t>物資管理</t>
        </is>
      </c>
      <c r="B7" s="15" t="inlineStr">
        <is>
          <t>救援物資の担当</t>
        </is>
      </c>
      <c r="C7" s="15" t="inlineStr">
        <is>
          <t>倉庫から避難所への物資の割当、配送状況の更新、備蓄倉庫の在庫編集</t>
        </is>
      </c>
      <c r="D7" s="15" t="inlineStr">
        <is>
          <t>上記以外（地図・被害報告・避難所入力などの画面は表示されない）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注意事項・確認方法</t>
        </is>
      </c>
    </row>
    <row r="3" ht="48" customHeight="1">
      <c r="A3" s="16" t="inlineStr">
        <is>
          <t>1. ログイン（アカウント）機能はありません。画面上部の4つのボタンで誰でもモードを切り替えられます。権限は「画面の出し分け」であり、特定の人だけに操作を許可する仕組みではありません。</t>
        </is>
      </c>
    </row>
    <row r="4" ht="48" customHeight="1">
      <c r="A4" s="16" t="inlineStr">
        <is>
          <t>2. サーバー側（API）でも役割による制限はしていないため、URLやAPIを直接呼べば、モードで隠れている操作も技術的には実行できます。本格運用では認証の追加が必要です。</t>
        </is>
      </c>
    </row>
    <row r="5" ht="48" customHeight="1">
      <c r="A5" s="16" t="inlineStr">
        <is>
          <t>3. △は、通常は触れないはずの操作が、左サイドバーの集計（被害報告・避難所・物資要求）の一覧ダイアログ経由では、モードに関係なく開けてしまう箇所です。制限したい場合は改修が必要です。</t>
        </is>
      </c>
    </row>
    <row r="6" ht="48" customHeight="1">
      <c r="A6" s="16" t="inlineStr">
        <is>
          <t>4. 過去の災害を開いている場合（災害一覧から別タブで開いた画面）は、避難所・ライフライン・一時滞在施設は現在状態の表示のみになり、編集できません。被害報告・物資要求・ホワイトボード・情報発信は編集できます。</t>
        </is>
      </c>
    </row>
    <row r="7" ht="48" customHeight="1">
      <c r="A7" s="16" t="inlineStr">
        <is>
          <t>5. 入力者区分（参集指定職員／都市整備部職員／災対本部職員）は、誰が入力したかを記録するための選択肢です。本人確認ではありません。</t>
        </is>
      </c>
    </row>
    <row r="8" ht="48" customHeight="1">
      <c r="A8" s="16" t="inlineStr">
        <is>
          <t>6. この表は、ソースコード（public/app.js、public/style.css、public/index.html、server.js）の内容を調査して作成しました。調査時点の版: コミット e672351（2026-09-30）。機能を変更した場合は、この表も更新してください。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2026-09-30T09:38:59Z</dcterms:created>
  <dcterms:modified xsi:type="dcterms:W3CDTF">2026-09-30T09:38:59Z</dcterms:modified>
</cp:coreProperties>
</file>